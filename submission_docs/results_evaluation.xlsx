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" sheetId="1" r:id="rId5"/>
    <sheet state="visible" name="use cases" sheetId="2" r:id="rId6"/>
    <sheet state="visible" name="metrics" sheetId="3" r:id="rId7"/>
    <sheet state="visible" name="resulst" sheetId="4" r:id="rId8"/>
  </sheets>
  <definedNames/>
  <calcPr/>
</workbook>
</file>

<file path=xl/sharedStrings.xml><?xml version="1.0" encoding="utf-8"?>
<sst xmlns="http://schemas.openxmlformats.org/spreadsheetml/2006/main" count="108" uniqueCount="80">
  <si>
    <t>How to score</t>
  </si>
  <si>
    <t>Metric</t>
  </si>
  <si>
    <t>Description</t>
  </si>
  <si>
    <t>Scoring guidance (0–1)</t>
  </si>
  <si>
    <t>Applies to tools</t>
  </si>
  <si>
    <t>Relevance</t>
  </si>
  <si>
    <t>How relevant the returned papers/chunks/outputs are to the prompt.</t>
  </si>
  <si>
    <t>1.0 = all returned items relevant; 0.7 ≈ 1 of 3 irrelevant; 0.3 = mostly irrelevant; 0 = wrong topic.</t>
  </si>
  <si>
    <t>recommend_relevant_papers, answer_general_question</t>
  </si>
  <si>
    <t>Grounding</t>
  </si>
  <si>
    <t>Whether the answer is supported by cited snippets/chunks from the indexed PDFs.</t>
  </si>
  <si>
    <t>1.0 = clearly supported + cites correct sections; 0.5 = partially supported; 0 = hallucinated / no support.</t>
  </si>
  <si>
    <t>answer_general_question, query_paper_for_answer, verify_claim</t>
  </si>
  <si>
    <t>Correctness</t>
  </si>
  <si>
    <t>Factual/logic correctness relative to the papers (and claim direction for verify_claim).</t>
  </si>
  <si>
    <t>1.0 = correct; 0.5 = mixed/unclear; 0 = incorrect.</t>
  </si>
  <si>
    <t>compare_papers, identify_research_gaps, generate_research_ideas, verify_claim</t>
  </si>
  <si>
    <t xml:space="preserve">Latency </t>
  </si>
  <si>
    <r>
      <rPr>
        <rFont val="Arial"/>
        <color theme="1"/>
        <sz val="11.0"/>
      </rPr>
      <t xml:space="preserve">How responsive the tool feels (how fast it replies).
</t>
    </r>
    <r>
      <rPr>
        <rFont val="Arial"/>
        <b/>
        <color theme="1"/>
        <sz val="11.0"/>
      </rPr>
      <t>note :</t>
    </r>
    <r>
      <rPr>
        <rFont val="Arial"/>
        <color theme="1"/>
        <sz val="11.0"/>
      </rPr>
      <t xml:space="preserve"> lower latency generally indicates better performance, here we inverted the scale for easier aggregation with the other metrics</t>
    </r>
  </si>
  <si>
    <t>1.0 = &lt;5s; 0.7 = 5–15s; 0.5 = 15–30s; 0.3 = 30-60s 0 = &gt;60s.</t>
  </si>
  <si>
    <t xml:space="preserve">all </t>
  </si>
  <si>
    <t>UC#</t>
  </si>
  <si>
    <t>Topic / Prompt</t>
  </si>
  <si>
    <t>Expected behavior</t>
  </si>
  <si>
    <t>Primary tool(s)</t>
  </si>
  <si>
    <t>Secondary tool(s)</t>
  </si>
  <si>
    <t>Which papers are relevant to topic cybersecurity risks?</t>
  </si>
  <si>
    <t>Return top 3–5 relevant papers with sensible ranking</t>
  </si>
  <si>
    <t>recommend_relevant_papers</t>
  </si>
  <si>
    <t>Find papers related to citation recommendation / citation discovery.</t>
  </si>
  <si>
    <t>Return papers on citation recommendation, OpenAlex-related, scholarly search</t>
  </si>
  <si>
    <t>answer_general_question</t>
  </si>
  <si>
    <t>In Paper A, what is the main contribution and evaluation setup?</t>
  </si>
  <si>
    <t>Answer with citations/snippets from intro/method/eval</t>
  </si>
  <si>
    <t>query_paper_for_answer</t>
  </si>
  <si>
    <t>Across all uploaded papers: how do they define 'grounding'?</t>
  </si>
  <si>
    <t>Synthesize definitions; cite at least 2 papers</t>
  </si>
  <si>
    <t>compare_papers</t>
  </si>
  <si>
    <t>Compare Paper A vs Paper B.</t>
  </si>
  <si>
    <t>Structured comparison, correct details</t>
  </si>
  <si>
    <t>Identify common limitations across the set (latency, evaluation, hallucinations).</t>
  </si>
  <si>
    <t>List limitations with supporting mentions where available</t>
  </si>
  <si>
    <t>identify_research_gaps</t>
  </si>
  <si>
    <t>Generate 3 future work ideas grounded in limitations in the papers.</t>
  </si>
  <si>
    <t>Ideas should be specific, feasible, traceable to limitations</t>
  </si>
  <si>
    <t>generate_research_ideas</t>
  </si>
  <si>
    <t>Verify claim: 'Switching embedding models did not affect retrieval quality.'</t>
  </si>
  <si>
    <t>Classify supported/contradicted/not addressed + cite evidence</t>
  </si>
  <si>
    <t>verify_claim</t>
  </si>
  <si>
    <t>Verify claim: 'Sampling size affects the results.'</t>
  </si>
  <si>
    <t>Classify + cite</t>
  </si>
  <si>
    <t>Tell me theory about decision trees</t>
  </si>
  <si>
    <t>High-level amswer + cite relevant sections</t>
  </si>
  <si>
    <t>Results (manual scoring per use case)</t>
  </si>
  <si>
    <t>Tool</t>
  </si>
  <si>
    <t>Metric: Relevance</t>
  </si>
  <si>
    <t>Metric: Grounding</t>
  </si>
  <si>
    <t>Metric: Correctness</t>
  </si>
  <si>
    <t xml:space="preserve">Metric: Latency </t>
  </si>
  <si>
    <t>Overall (avg)</t>
  </si>
  <si>
    <t>Evidence (paper/page/section)</t>
  </si>
  <si>
    <t>All relevant</t>
  </si>
  <si>
    <t>Top-3 relevant, 1 minor off-topic in Top-5</t>
  </si>
  <si>
    <t>Cited intro/method sections; correct summary</t>
  </si>
  <si>
    <t>Cites 2+ papers, some synthesis high-level</t>
  </si>
  <si>
    <t>Correct high-level comparison with table</t>
  </si>
  <si>
    <t>Findings align with papers' limitations sections</t>
  </si>
  <si>
    <t>Ideas good, partial grounding</t>
  </si>
  <si>
    <t>sometimes uncertain</t>
  </si>
  <si>
    <t>Everything correct</t>
  </si>
  <si>
    <t>Cites 2+ papers, good answer</t>
  </si>
  <si>
    <t>N</t>
  </si>
  <si>
    <t>Avg Relevance</t>
  </si>
  <si>
    <t>Avg Grounding</t>
  </si>
  <si>
    <t>Avg Correctness</t>
  </si>
  <si>
    <t>Avg Latency</t>
  </si>
  <si>
    <t>Avg Overall</t>
  </si>
  <si>
    <t>Overall system score (avg of all Overall entries):</t>
  </si>
  <si>
    <t>Interpretation guide:</t>
  </si>
  <si>
    <t>≥0.80: works very well, 0.60–0.79: works with limitations, &lt;0.60: needs significant improvements.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</si>
</sst>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Arial"/>
    </font>
    <font>
      <b/>
      <sz val="12.0"/>
      <color theme="1"/>
      <name val="Arial"/>
    </font>
    <font>
      <b/>
      <color rgb="FF000000"/>
      <name val="Arial"/>
    </font>
    <font>
      <b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top" wrapText="1"/>
    </xf>
    <xf borderId="1" fillId="0" fontId="8" numFmtId="2" xfId="0" applyAlignment="1" applyBorder="1" applyFont="1" applyNumberFormat="1">
      <alignment horizontal="center" shrinkToFit="0" vertical="center" wrapText="1"/>
    </xf>
    <xf borderId="1" fillId="0" fontId="8" numFmtId="2" xfId="0" applyAlignment="1" applyBorder="1" applyFont="1" applyNumberFormat="1">
      <alignment horizontal="center" readingOrder="0" shrinkToFit="0" vertical="center" wrapText="1"/>
    </xf>
    <xf borderId="1" fillId="0" fontId="8" numFmtId="2" xfId="0" applyAlignment="1" applyBorder="1" applyFont="1" applyNumberFormat="1">
      <alignment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5" numFmtId="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5" numFmtId="2" xfId="0" applyAlignment="1" applyFont="1" applyNumberFormat="1">
      <alignment shrinkToFit="0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50.86"/>
    <col customWidth="1" min="3" max="3" width="48.0"/>
    <col customWidth="1" min="4" max="4" width="42.0"/>
    <col customWidth="1" min="5" max="6" width="2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3" t="s">
        <v>1</v>
      </c>
      <c r="B4" s="3" t="s">
        <v>2</v>
      </c>
      <c r="C4" s="3" t="s">
        <v>3</v>
      </c>
      <c r="D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8.0" customHeight="1">
      <c r="A5" s="4" t="s">
        <v>5</v>
      </c>
      <c r="B5" s="5" t="s">
        <v>6</v>
      </c>
      <c r="C5" s="5" t="s">
        <v>7</v>
      </c>
      <c r="D5" s="5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8.0" customHeight="1">
      <c r="A6" s="4" t="s">
        <v>9</v>
      </c>
      <c r="B6" s="5" t="s">
        <v>10</v>
      </c>
      <c r="C6" s="5" t="s">
        <v>11</v>
      </c>
      <c r="D6" s="5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8.0" customHeight="1">
      <c r="A7" s="4" t="s">
        <v>13</v>
      </c>
      <c r="B7" s="5" t="s">
        <v>14</v>
      </c>
      <c r="C7" s="5" t="s">
        <v>15</v>
      </c>
      <c r="D7" s="5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5.25" customHeight="1">
      <c r="A8" s="6" t="s">
        <v>17</v>
      </c>
      <c r="B8" s="7" t="s">
        <v>18</v>
      </c>
      <c r="C8" s="7" t="s">
        <v>19</v>
      </c>
      <c r="D8" s="7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A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6.0"/>
    <col customWidth="1" min="3" max="3" width="34.0"/>
    <col customWidth="1" min="4" max="4" width="22.0"/>
    <col customWidth="1" min="5" max="5" width="20.0"/>
    <col customWidth="1" min="6" max="23" width="8.71"/>
  </cols>
  <sheetData>
    <row r="1" ht="21.7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54.0" customHeight="1">
      <c r="A2" s="5">
        <v>1.0</v>
      </c>
      <c r="B2" s="7" t="s">
        <v>26</v>
      </c>
      <c r="C2" s="5" t="s">
        <v>27</v>
      </c>
      <c r="D2" s="5" t="s">
        <v>28</v>
      </c>
      <c r="E2" s="5"/>
    </row>
    <row r="3" ht="54.0" customHeight="1">
      <c r="A3" s="5">
        <v>2.0</v>
      </c>
      <c r="B3" s="5" t="s">
        <v>29</v>
      </c>
      <c r="C3" s="5" t="s">
        <v>30</v>
      </c>
      <c r="D3" s="5" t="s">
        <v>28</v>
      </c>
      <c r="E3" s="5" t="s">
        <v>31</v>
      </c>
    </row>
    <row r="4" ht="54.0" customHeight="1">
      <c r="A4" s="5">
        <v>3.0</v>
      </c>
      <c r="B4" s="5" t="s">
        <v>32</v>
      </c>
      <c r="C4" s="5" t="s">
        <v>33</v>
      </c>
      <c r="D4" s="5" t="s">
        <v>34</v>
      </c>
      <c r="E4" s="5"/>
    </row>
    <row r="5" ht="54.0" customHeight="1">
      <c r="A5" s="5">
        <v>4.0</v>
      </c>
      <c r="B5" s="5" t="s">
        <v>35</v>
      </c>
      <c r="C5" s="5" t="s">
        <v>36</v>
      </c>
      <c r="D5" s="5" t="s">
        <v>31</v>
      </c>
      <c r="E5" s="5" t="s">
        <v>37</v>
      </c>
    </row>
    <row r="6" ht="54.0" customHeight="1">
      <c r="A6" s="5">
        <v>5.0</v>
      </c>
      <c r="B6" s="7" t="s">
        <v>38</v>
      </c>
      <c r="C6" s="5" t="s">
        <v>39</v>
      </c>
      <c r="D6" s="5" t="s">
        <v>37</v>
      </c>
      <c r="E6" s="5"/>
    </row>
    <row r="7" ht="54.0" customHeight="1">
      <c r="A7" s="5">
        <v>6.0</v>
      </c>
      <c r="B7" s="5" t="s">
        <v>40</v>
      </c>
      <c r="C7" s="5" t="s">
        <v>41</v>
      </c>
      <c r="D7" s="5" t="s">
        <v>42</v>
      </c>
      <c r="E7" s="5" t="s">
        <v>31</v>
      </c>
    </row>
    <row r="8" ht="54.0" customHeight="1">
      <c r="A8" s="5">
        <v>7.0</v>
      </c>
      <c r="B8" s="5" t="s">
        <v>43</v>
      </c>
      <c r="C8" s="5" t="s">
        <v>44</v>
      </c>
      <c r="D8" s="5" t="s">
        <v>45</v>
      </c>
      <c r="E8" s="5" t="s">
        <v>42</v>
      </c>
    </row>
    <row r="9" ht="54.0" customHeight="1">
      <c r="A9" s="5">
        <v>8.0</v>
      </c>
      <c r="B9" s="5" t="s">
        <v>46</v>
      </c>
      <c r="C9" s="5" t="s">
        <v>47</v>
      </c>
      <c r="D9" s="5" t="s">
        <v>48</v>
      </c>
      <c r="E9" s="5" t="s">
        <v>31</v>
      </c>
    </row>
    <row r="10" ht="54.0" customHeight="1">
      <c r="A10" s="5">
        <v>9.0</v>
      </c>
      <c r="B10" s="7" t="s">
        <v>49</v>
      </c>
      <c r="C10" s="5" t="s">
        <v>50</v>
      </c>
      <c r="D10" s="5" t="s">
        <v>48</v>
      </c>
      <c r="E10" s="5"/>
    </row>
    <row r="11" ht="54.0" customHeight="1">
      <c r="A11" s="5">
        <v>10.0</v>
      </c>
      <c r="B11" s="7" t="s">
        <v>51</v>
      </c>
      <c r="C11" s="7" t="s">
        <v>52</v>
      </c>
      <c r="D11" s="5" t="s">
        <v>31</v>
      </c>
      <c r="E11" s="5" t="s">
        <v>42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0.57"/>
    <col customWidth="1" min="4" max="6" width="18.0"/>
    <col customWidth="1" min="7" max="7" width="14.0"/>
    <col customWidth="1" min="8" max="8" width="28.0"/>
    <col customWidth="1" min="9" max="23" width="8.71"/>
  </cols>
  <sheetData>
    <row r="1" ht="24.0" customHeight="1">
      <c r="A1" s="8" t="s">
        <v>53</v>
      </c>
    </row>
    <row r="2" ht="37.5" customHeight="1">
      <c r="A2" s="9" t="s">
        <v>21</v>
      </c>
      <c r="B2" s="9" t="s">
        <v>54</v>
      </c>
      <c r="C2" s="9" t="s">
        <v>55</v>
      </c>
      <c r="D2" s="9" t="s">
        <v>56</v>
      </c>
      <c r="E2" s="9" t="s">
        <v>57</v>
      </c>
      <c r="F2" s="10" t="s">
        <v>58</v>
      </c>
      <c r="G2" s="9" t="s">
        <v>59</v>
      </c>
      <c r="H2" s="9" t="s">
        <v>60</v>
      </c>
    </row>
    <row r="3" ht="42.0" customHeight="1">
      <c r="A3" s="11">
        <v>1.0</v>
      </c>
      <c r="B3" s="12" t="s">
        <v>28</v>
      </c>
      <c r="C3" s="13">
        <v>1.0</v>
      </c>
      <c r="D3" s="13">
        <v>1.0</v>
      </c>
      <c r="E3" s="14">
        <v>1.0</v>
      </c>
      <c r="F3" s="13">
        <v>0.7</v>
      </c>
      <c r="G3" s="15">
        <f t="shared" ref="G3:G12" si="1">IF(COUNTA(C3:F3)=0,"",AVERAGE(C3:F3))</f>
        <v>0.925</v>
      </c>
      <c r="H3" s="16" t="s">
        <v>61</v>
      </c>
    </row>
    <row r="4" ht="42.0" customHeight="1">
      <c r="A4" s="11">
        <v>2.0</v>
      </c>
      <c r="B4" s="12" t="s">
        <v>28</v>
      </c>
      <c r="C4" s="13">
        <v>1.0</v>
      </c>
      <c r="D4" s="13">
        <v>1.0</v>
      </c>
      <c r="E4" s="13">
        <v>0.9</v>
      </c>
      <c r="F4" s="14">
        <v>0.5</v>
      </c>
      <c r="G4" s="15">
        <f t="shared" si="1"/>
        <v>0.85</v>
      </c>
      <c r="H4" s="16" t="s">
        <v>62</v>
      </c>
    </row>
    <row r="5" ht="42.0" customHeight="1">
      <c r="A5" s="11">
        <v>3.0</v>
      </c>
      <c r="B5" s="12" t="s">
        <v>34</v>
      </c>
      <c r="C5" s="14">
        <v>1.0</v>
      </c>
      <c r="D5" s="14">
        <v>1.0</v>
      </c>
      <c r="E5" s="14">
        <v>1.0</v>
      </c>
      <c r="F5" s="14">
        <v>0.5</v>
      </c>
      <c r="G5" s="15">
        <f t="shared" si="1"/>
        <v>0.875</v>
      </c>
      <c r="H5" s="17" t="s">
        <v>63</v>
      </c>
    </row>
    <row r="6" ht="42.0" customHeight="1">
      <c r="A6" s="11">
        <v>4.0</v>
      </c>
      <c r="B6" s="12" t="s">
        <v>31</v>
      </c>
      <c r="C6" s="13">
        <v>0.8</v>
      </c>
      <c r="D6" s="14">
        <v>0.5</v>
      </c>
      <c r="E6" s="14">
        <v>1.0</v>
      </c>
      <c r="F6" s="14">
        <v>0.7</v>
      </c>
      <c r="G6" s="15">
        <f t="shared" si="1"/>
        <v>0.75</v>
      </c>
      <c r="H6" s="16" t="s">
        <v>64</v>
      </c>
    </row>
    <row r="7" ht="42.0" customHeight="1">
      <c r="A7" s="11">
        <v>5.0</v>
      </c>
      <c r="B7" s="12" t="s">
        <v>37</v>
      </c>
      <c r="C7" s="14">
        <v>1.0</v>
      </c>
      <c r="D7" s="14">
        <v>1.0</v>
      </c>
      <c r="E7" s="14">
        <v>1.0</v>
      </c>
      <c r="F7" s="14">
        <v>0.3</v>
      </c>
      <c r="G7" s="15">
        <f t="shared" si="1"/>
        <v>0.825</v>
      </c>
      <c r="H7" s="16" t="s">
        <v>65</v>
      </c>
    </row>
    <row r="8" ht="42.0" customHeight="1">
      <c r="A8" s="11">
        <v>6.0</v>
      </c>
      <c r="B8" s="12" t="s">
        <v>42</v>
      </c>
      <c r="C8" s="14">
        <v>1.0</v>
      </c>
      <c r="D8" s="14">
        <v>0.8</v>
      </c>
      <c r="E8" s="13">
        <v>0.7</v>
      </c>
      <c r="F8" s="14">
        <v>0.3</v>
      </c>
      <c r="G8" s="15">
        <f t="shared" si="1"/>
        <v>0.7</v>
      </c>
      <c r="H8" s="17" t="s">
        <v>66</v>
      </c>
    </row>
    <row r="9" ht="42.0" customHeight="1">
      <c r="A9" s="11">
        <v>7.0</v>
      </c>
      <c r="B9" s="12" t="s">
        <v>45</v>
      </c>
      <c r="C9" s="14">
        <v>0.8</v>
      </c>
      <c r="D9" s="13">
        <v>0.5</v>
      </c>
      <c r="E9" s="14">
        <v>0.8</v>
      </c>
      <c r="F9" s="13">
        <v>0.5</v>
      </c>
      <c r="G9" s="15">
        <f t="shared" si="1"/>
        <v>0.65</v>
      </c>
      <c r="H9" s="16" t="s">
        <v>67</v>
      </c>
    </row>
    <row r="10" ht="42.0" customHeight="1">
      <c r="A10" s="11">
        <v>8.0</v>
      </c>
      <c r="B10" s="12" t="s">
        <v>48</v>
      </c>
      <c r="C10" s="14">
        <v>1.0</v>
      </c>
      <c r="D10" s="14">
        <v>1.0</v>
      </c>
      <c r="E10" s="14">
        <v>1.0</v>
      </c>
      <c r="F10" s="13">
        <v>0.5</v>
      </c>
      <c r="G10" s="15">
        <f t="shared" si="1"/>
        <v>0.875</v>
      </c>
      <c r="H10" s="16" t="s">
        <v>68</v>
      </c>
    </row>
    <row r="11" ht="42.0" customHeight="1">
      <c r="A11" s="11">
        <v>9.0</v>
      </c>
      <c r="B11" s="12" t="s">
        <v>48</v>
      </c>
      <c r="C11" s="14">
        <v>1.0</v>
      </c>
      <c r="D11" s="14">
        <v>1.0</v>
      </c>
      <c r="E11" s="14">
        <v>1.0</v>
      </c>
      <c r="F11" s="13">
        <v>0.5</v>
      </c>
      <c r="G11" s="15">
        <f t="shared" si="1"/>
        <v>0.875</v>
      </c>
      <c r="H11" s="16" t="s">
        <v>69</v>
      </c>
    </row>
    <row r="12" ht="42.0" customHeight="1">
      <c r="A12" s="11">
        <v>10.0</v>
      </c>
      <c r="B12" s="12" t="s">
        <v>31</v>
      </c>
      <c r="C12" s="14">
        <v>1.0</v>
      </c>
      <c r="D12" s="14">
        <v>1.0</v>
      </c>
      <c r="E12" s="14">
        <v>1.0</v>
      </c>
      <c r="F12" s="14">
        <v>1.0</v>
      </c>
      <c r="G12" s="15">
        <f t="shared" si="1"/>
        <v>1</v>
      </c>
      <c r="H12" s="16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.0"/>
    <col customWidth="1" min="3" max="6" width="14.0"/>
    <col customWidth="1" min="7" max="7" width="12.0"/>
    <col customWidth="1" min="8" max="25" width="8.71"/>
  </cols>
  <sheetData>
    <row r="1" ht="30.0" customHeight="1">
      <c r="A1" s="3" t="s">
        <v>54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ht="25.5" customHeight="1">
      <c r="A2" s="5" t="s">
        <v>28</v>
      </c>
      <c r="B2" s="19">
        <f>COUNTIF(metrics!$B$3:$B$200,A2)</f>
        <v>2</v>
      </c>
      <c r="C2" s="19">
        <f>IF(B2=0,"",AVERAGEIF(metrics!$B$3:$B$200,A2,metrics!$C$3:$C$200))</f>
        <v>1</v>
      </c>
      <c r="D2" s="19">
        <f>IF(B2=0,"",AVERAGEIF(metrics!$B$3:$B$200,A2,metrics!$D$3:$D$200))</f>
        <v>1</v>
      </c>
      <c r="E2" s="19">
        <f>IF(B2=0,"",AVERAGEIF(metrics!$B$3:$B$200,A2,metrics!$E$3:$E$200))</f>
        <v>0.95</v>
      </c>
      <c r="F2" s="19">
        <f>IF(B2=0,"",AVERAGEIF(metrics!$B$3:$B$200,A2,metrics!$F$3:$F$200))</f>
        <v>0.6</v>
      </c>
      <c r="G2" s="19">
        <f>IF(B2=0,"",AVERAGEIF(metrics!$B$3:$B$200,A2,metrics!$G$3:$G$200))</f>
        <v>0.8875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ht="25.5" customHeight="1">
      <c r="A3" s="5" t="s">
        <v>31</v>
      </c>
      <c r="B3" s="19">
        <f>COUNTIF(metrics!$B$3:$B$200,A3)</f>
        <v>2</v>
      </c>
      <c r="C3" s="19">
        <f>IF(B3=0,"",AVERAGEIF(metrics!$B$3:$B$200,A3,metrics!$C$3:$C$200))</f>
        <v>0.9</v>
      </c>
      <c r="D3" s="19">
        <f>IF(B3=0,"",AVERAGEIF(metrics!$B$3:$B$200,A3,metrics!$D$3:$D$200))</f>
        <v>0.75</v>
      </c>
      <c r="E3" s="19">
        <f>IF(B3=0,"",AVERAGEIF(metrics!$B$3:$B$200,A3,metrics!$E$3:$E$200))</f>
        <v>1</v>
      </c>
      <c r="F3" s="19">
        <f>IF(B3=0,"",AVERAGEIF(metrics!$B$3:$B$200,A3,metrics!$F$3:$F$200))</f>
        <v>0.85</v>
      </c>
      <c r="G3" s="19">
        <f>IF(B3=0,"",AVERAGEIF(metrics!$B$3:$B$200,A3,metrics!$G$3:$G$200))</f>
        <v>0.875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5.5" customHeight="1">
      <c r="A4" s="5" t="s">
        <v>34</v>
      </c>
      <c r="B4" s="19">
        <f>COUNTIF(metrics!$B$3:$B$200,A4)</f>
        <v>1</v>
      </c>
      <c r="C4" s="19">
        <f>IF(B4=0,"",AVERAGEIF(metrics!$B$3:$B$200,A4,metrics!$C$3:$C$200))</f>
        <v>1</v>
      </c>
      <c r="D4" s="19">
        <f>IF(B4=0,"",AVERAGEIF(metrics!$B$3:$B$200,A4,metrics!$D$3:$D$200))</f>
        <v>1</v>
      </c>
      <c r="E4" s="19">
        <f>IF(B4=0,"",AVERAGEIF(metrics!$B$3:$B$200,A4,metrics!$E$3:$E$200))</f>
        <v>1</v>
      </c>
      <c r="F4" s="19">
        <f>IF(B4=0,"",AVERAGEIF(metrics!$B$3:$B$200,A4,metrics!$F$3:$F$200))</f>
        <v>0.5</v>
      </c>
      <c r="G4" s="19">
        <f>IF(B4=0,"",AVERAGEIF(metrics!$B$3:$B$200,A4,metrics!$G$3:$G$200))</f>
        <v>0.875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25.5" customHeight="1">
      <c r="A5" s="5" t="s">
        <v>37</v>
      </c>
      <c r="B5" s="19">
        <f>COUNTIF(metrics!$B$3:$B$200,A5)</f>
        <v>1</v>
      </c>
      <c r="C5" s="19">
        <f>IF(B5=0,"",AVERAGEIF(metrics!$B$3:$B$200,A5,metrics!$C$3:$C$200))</f>
        <v>1</v>
      </c>
      <c r="D5" s="19">
        <f>IF(B5=0,"",AVERAGEIF(metrics!$B$3:$B$200,A5,metrics!$D$3:$D$200))</f>
        <v>1</v>
      </c>
      <c r="E5" s="19">
        <f>IF(B5=0,"",AVERAGEIF(metrics!$B$3:$B$200,A5,metrics!$E$3:$E$200))</f>
        <v>1</v>
      </c>
      <c r="F5" s="19">
        <f>IF(B5=0,"",AVERAGEIF(metrics!$B$3:$B$200,A5,metrics!$F$3:$F$200))</f>
        <v>0.3</v>
      </c>
      <c r="G5" s="19">
        <f>IF(B5=0,"",AVERAGEIF(metrics!$B$3:$B$200,A5,metrics!$G$3:$G$200))</f>
        <v>0.825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5.5" customHeight="1">
      <c r="A6" s="5" t="s">
        <v>42</v>
      </c>
      <c r="B6" s="19">
        <f>COUNTIF(metrics!$B$3:$B$200,A6)</f>
        <v>1</v>
      </c>
      <c r="C6" s="19">
        <f>IF(B6=0,"",AVERAGEIF(metrics!$B$3:$B$200,A6,metrics!$C$3:$C$200))</f>
        <v>1</v>
      </c>
      <c r="D6" s="19">
        <f>IF(B6=0,"",AVERAGEIF(metrics!$B$3:$B$200,A6,metrics!$D$3:$D$200))</f>
        <v>0.8</v>
      </c>
      <c r="E6" s="19">
        <f>IF(B6=0,"",AVERAGEIF(metrics!$B$3:$B$200,A6,metrics!$E$3:$E$200))</f>
        <v>0.7</v>
      </c>
      <c r="F6" s="19">
        <f>IF(B6=0,"",AVERAGEIF(metrics!$B$3:$B$200,A6,metrics!$F$3:$F$200))</f>
        <v>0.3</v>
      </c>
      <c r="G6" s="19">
        <f>IF(B6=0,"",AVERAGEIF(metrics!$B$3:$B$200,A6,metrics!$G$3:$G$200))</f>
        <v>0.7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25.5" customHeight="1">
      <c r="A7" s="5" t="s">
        <v>45</v>
      </c>
      <c r="B7" s="19">
        <f>COUNTIF(metrics!$B$3:$B$200,A7)</f>
        <v>1</v>
      </c>
      <c r="C7" s="19">
        <f>IF(B7=0,"",AVERAGEIF(metrics!$B$3:$B$200,A7,metrics!$C$3:$C$200))</f>
        <v>0.8</v>
      </c>
      <c r="D7" s="19">
        <f>IF(B7=0,"",AVERAGEIF(metrics!$B$3:$B$200,A7,metrics!$D$3:$D$200))</f>
        <v>0.5</v>
      </c>
      <c r="E7" s="19">
        <f>IF(B7=0,"",AVERAGEIF(metrics!$B$3:$B$200,A7,metrics!$E$3:$E$200))</f>
        <v>0.8</v>
      </c>
      <c r="F7" s="19">
        <f>IF(B7=0,"",AVERAGEIF(metrics!$B$3:$B$200,A7,metrics!$F$3:$F$200))</f>
        <v>0.5</v>
      </c>
      <c r="G7" s="19">
        <f>IF(B7=0,"",AVERAGEIF(metrics!$B$3:$B$200,A7,metrics!$G$3:$G$200))</f>
        <v>0.65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25.5" customHeight="1">
      <c r="A8" s="5" t="s">
        <v>48</v>
      </c>
      <c r="B8" s="19">
        <f>COUNTIF(metrics!$B$3:$B$200,A8)</f>
        <v>2</v>
      </c>
      <c r="C8" s="19">
        <f>IF(B8=0,"",AVERAGEIF(metrics!$B$3:$B$200,A8,metrics!$C$3:$C$200))</f>
        <v>1</v>
      </c>
      <c r="D8" s="19">
        <f>IF(B8=0,"",AVERAGEIF(metrics!$B$3:$B$200,A8,metrics!$D$3:$D$200))</f>
        <v>1</v>
      </c>
      <c r="E8" s="19">
        <f>IF(B8=0,"",AVERAGEIF(metrics!$B$3:$B$200,A8,metrics!$E$3:$E$200))</f>
        <v>1</v>
      </c>
      <c r="F8" s="19">
        <f>IF(B8=0,"",AVERAGEIF(metrics!$B$3:$B$200,A8,metrics!$F$3:$F$200))</f>
        <v>0.5</v>
      </c>
      <c r="G8" s="19">
        <f>IF(B8=0,"",AVERAGEIF(metrics!$B$3:$B$200,A8,metrics!$G$3:$G$200))</f>
        <v>0.875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20" t="s">
        <v>77</v>
      </c>
      <c r="B11" s="21">
        <f>IFERROR(AVERAGE(metrics!$G$3:$G$12),"")</f>
        <v>0.8325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20" t="s">
        <v>78</v>
      </c>
      <c r="B12" s="22" t="s">
        <v>79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</sheetData>
  <mergeCells count="1">
    <mergeCell ref="B12:H12"/>
  </mergeCells>
  <printOptions/>
  <pageMargins bottom="0.75" footer="0.0" header="0.0" left="0.7" right="0.7" top="0.75"/>
  <pageSetup orientation="landscape"/>
  <drawing r:id="rId1"/>
</worksheet>
</file>